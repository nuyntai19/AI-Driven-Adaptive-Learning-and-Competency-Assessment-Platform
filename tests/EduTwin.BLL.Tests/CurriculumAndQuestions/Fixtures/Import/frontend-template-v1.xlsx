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Topics" sheetId="2" r:id="rId2"/>
    <sheet name="Guide" sheetId="3" r:id="rId3"/>
  </sheets>
  <definedNames>
    <definedName name="_xlnm._FilterDatabase" localSheetId="0">'Questions'!A1:Z501</definedName>
    <definedName name="ImportTopics">Topics!$A$2:$A$4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1"/>
  <sheetViews>
    <sheetView workbookViewId="0">
      <pane xSplit="2" ySplit="1" topLeftCell="C2" activePane="bottomRight" state="frozen"/>
    </sheetView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48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48.83203125" customWidth="1"/>
    <col min="17" max="17" width="48.83203125" customWidth="1"/>
    <col min="18" max="18" width="48.83203125" customWidth="1"/>
    <col min="19" max="19" width="48.83203125" customWidth="1"/>
    <col min="20" max="20" width="48.83203125" customWidth="1"/>
    <col min="21" max="21" width="22.83203125" customWidth="1"/>
    <col min="22" max="22" width="22.83203125" customWidth="1"/>
    <col min="23" max="23" width="48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s="1" t="str">
        <v>QuestionKey</v>
      </c>
      <c r="B1" s="1" t="str">
        <v>TopicCode</v>
      </c>
      <c r="C1" s="1" t="str">
        <v>QuestionType</v>
      </c>
      <c r="D1" s="1" t="str">
        <v>GradeLevel</v>
      </c>
      <c r="E1" s="1" t="str">
        <v>Difficulty</v>
      </c>
      <c r="F1" s="1" t="str">
        <v>QuestionText</v>
      </c>
      <c r="G1" s="1" t="str">
        <v>OptionA</v>
      </c>
      <c r="H1" s="1" t="str">
        <v>MisconceptionA</v>
      </c>
      <c r="I1" s="1" t="str">
        <v>OptionB</v>
      </c>
      <c r="J1" s="1" t="str">
        <v>MisconceptionB</v>
      </c>
      <c r="K1" s="1" t="str">
        <v>OptionC</v>
      </c>
      <c r="L1" s="1" t="str">
        <v>MisconceptionC</v>
      </c>
      <c r="M1" s="1" t="str">
        <v>OptionD</v>
      </c>
      <c r="N1" s="1" t="str">
        <v>MisconceptionD</v>
      </c>
      <c r="O1" s="1" t="str">
        <v>CorrectAnswer</v>
      </c>
      <c r="P1" s="1" t="str">
        <v>Solution</v>
      </c>
      <c r="Q1" s="1" t="str">
        <v>ExpectedReasoning</v>
      </c>
      <c r="R1" s="1" t="str">
        <v>RequiredIdeas</v>
      </c>
      <c r="S1" s="1" t="str">
        <v>CommonErrors</v>
      </c>
      <c r="T1" s="1" t="str">
        <v>ScoringNotes</v>
      </c>
      <c r="U1" s="1" t="str">
        <v>MaxScore</v>
      </c>
      <c r="V1" s="1" t="str">
        <v>EstimatedTimeSeconds</v>
      </c>
      <c r="W1" s="1" t="str">
        <v>ReasoningRequired</v>
      </c>
      <c r="X1" s="1" t="str">
        <v>AnswerEvaluationMode</v>
      </c>
      <c r="Y1" s="1" t="str">
        <v>Visibility</v>
      </c>
      <c r="Z1" s="1" t="str">
        <v>LanguageCode</v>
      </c>
    </row>
    <row r="2">
      <c r="A2" s="1" t="str">
        <v>Q001</v>
      </c>
      <c r="B2" s="1" t="str">
        <v>MATH-DERIV</v>
      </c>
      <c r="C2" s="1" t="str">
        <v>MultipleChoice</v>
      </c>
      <c r="D2" s="1" t="str">
        <v>12</v>
      </c>
      <c r="E2" s="1" t="str">
        <v>3</v>
      </c>
      <c r="F2" s="1" t="str">
        <v>Cho $y=x^2$. Tính $y'(2)$.</v>
      </c>
      <c r="G2" s="1" t="str">
        <v>2</v>
      </c>
      <c r="H2" s="1" t="str">
        <v>Quên thay giá trị x vào đạo hàm.</v>
      </c>
      <c r="I2" s="1" t="str">
        <v>4</v>
      </c>
      <c r="J2" s="1"/>
      <c r="K2" s="1" t="str">
        <v>8</v>
      </c>
      <c r="L2" s="1" t="str">
        <v>Nhầm mũ với hệ số.</v>
      </c>
      <c r="M2" s="1" t="str">
        <v>0</v>
      </c>
      <c r="N2" s="1"/>
      <c r="O2" s="1" t="str">
        <v>B</v>
      </c>
      <c r="P2" s="1" t="str">
        <v>Ta có $y'=2x$, nên $y'(2)=4$.</v>
      </c>
      <c r="Q2" s="1"/>
      <c r="R2" s="1"/>
      <c r="S2" s="1"/>
      <c r="T2" s="1"/>
      <c r="U2" s="1" t="str">
        <v>10</v>
      </c>
      <c r="V2" s="1" t="str">
        <v>120</v>
      </c>
      <c r="W2" s="1" t="str">
        <v>FALSE</v>
      </c>
      <c r="X2" s="1" t="str">
        <v>TextExact</v>
      </c>
      <c r="Y2" s="1" t="str">
        <v>Private</v>
      </c>
      <c r="Z2" s="1" t="str">
        <v>vi</v>
      </c>
    </row>
    <row r="3">
      <c r="A3" s="1" t="str">
        <v>Q002</v>
      </c>
      <c r="B3" s="1" t="str">
        <v>MATH-FRAC</v>
      </c>
      <c r="C3" s="1" t="str">
        <v>ShortAnswer</v>
      </c>
      <c r="D3" s="1" t="str">
        <v>12</v>
      </c>
      <c r="E3" s="1" t="str">
        <v>3</v>
      </c>
      <c r="F3" s="1" t="str">
        <v>Tính $\frac{1}{2}+\frac{1}{3}$.</v>
      </c>
      <c r="G3" s="1"/>
      <c r="H3" s="1"/>
      <c r="I3" s="1"/>
      <c r="J3" s="1"/>
      <c r="K3" s="1"/>
      <c r="L3" s="1"/>
      <c r="M3" s="1"/>
      <c r="N3" s="1"/>
      <c r="O3" s="1" t="str">
        <v>5/6</v>
      </c>
      <c r="P3" s="1" t="str">
        <v>Quy đồng: $\frac{1}{2}+\frac{1}{3}=\frac{5}{6}$.</v>
      </c>
      <c r="Q3" s="1"/>
      <c r="R3" s="1"/>
      <c r="S3" s="1"/>
      <c r="T3" s="1"/>
      <c r="U3" s="1" t="str">
        <v>10</v>
      </c>
      <c r="V3" s="1" t="str">
        <v>120</v>
      </c>
      <c r="W3" s="1" t="str">
        <v>FALSE</v>
      </c>
      <c r="X3" s="1" t="str">
        <v>NumericRational</v>
      </c>
      <c r="Y3" s="1" t="str">
        <v>Private</v>
      </c>
      <c r="Z3" s="1" t="str">
        <v>vi</v>
      </c>
    </row>
    <row r="4">
      <c r="A4" s="1" t="str">
        <v>Q003</v>
      </c>
      <c r="B4" s="1" t="str">
        <v>MATH-GEOM</v>
      </c>
      <c r="C4" s="1" t="str">
        <v>Essay</v>
      </c>
      <c r="D4" s="1" t="str">
        <v>12</v>
      </c>
      <c r="E4" s="1" t="str">
        <v>3</v>
      </c>
      <c r="F4" s="1" t="str">
        <v>Giải thích ý nghĩa hình học của đạo hàm.</v>
      </c>
      <c r="G4" s="1"/>
      <c r="H4" s="1"/>
      <c r="I4" s="1"/>
      <c r="J4" s="1"/>
      <c r="K4" s="1"/>
      <c r="L4" s="1"/>
      <c r="M4" s="1"/>
      <c r="N4" s="1"/>
      <c r="O4" s="1" t="str">
        <v>Đạo hàm là hệ số góc của tiếp tuyến.</v>
      </c>
      <c r="P4" s="1" t="str">
        <v>Nêu định nghĩa và liên hệ tiếp tuyến của đồ thị.</v>
      </c>
      <c r="Q4" s="1"/>
      <c r="R4" s="1" t="str">
        <v>["Nêu hệ số góc","Liên hệ tiếp tuyến"]</v>
      </c>
      <c r="S4" s="1" t="str">
        <v>["Nhầm đạo hàm với giá trị hàm số"]</v>
      </c>
      <c r="T4" s="1" t="str">
        <v>Giáo viên chấm theo nội dung trình bày.</v>
      </c>
      <c r="U4" s="1" t="str">
        <v>10</v>
      </c>
      <c r="V4" s="1" t="str">
        <v>120</v>
      </c>
      <c r="W4" s="1" t="str">
        <v>FALSE</v>
      </c>
      <c r="X4" s="1" t="str">
        <v>Manual</v>
      </c>
      <c r="Y4" s="1" t="str">
        <v>Private</v>
      </c>
      <c r="Z4" s="1" t="str">
        <v>vi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</sheetData>
  <autoFilter ref="A1:Z501"/>
  <dataValidations count="8">
    <dataValidation type="list" allowBlank="1" showErrorMessage="1" errorStyle="stop" errorTitle="Giá trị không hợp lệ" error="Chọn một giá trị trong danh sách." sqref="C2:C501">
      <formula1>"MultipleChoice,ShortAnswer,Essay"</formula1>
    </dataValidation>
    <dataValidation type="list" allowBlank="1" showErrorMessage="1" errorStyle="stop" errorTitle="Giá trị không hợp lệ" error="Chọn một giá trị trong danh sách." sqref="D2:D501">
      <formula1>"10,11,12"</formula1>
    </dataValidation>
    <dataValidation type="list" allowBlank="1" showErrorMessage="1" errorStyle="stop" errorTitle="Giá trị không hợp lệ" error="Chọn một giá trị trong danh sách." sqref="E2:E501">
      <formula1>"1,2,3,4,5"</formula1>
    </dataValidation>
    <dataValidation type="list" allowBlank="1" showErrorMessage="1" errorStyle="stop" errorTitle="Giá trị không hợp lệ" error="Chọn một giá trị trong danh sách." sqref="W2:W501">
      <formula1>"TRUE,FALSE"</formula1>
    </dataValidation>
    <dataValidation type="list" allowBlank="1" showErrorMessage="1" errorStyle="stop" errorTitle="Giá trị không hợp lệ" error="Chọn một giá trị trong danh sách." sqref="X2:X501">
      <formula1>"TextExact,NumericRational,Coordinate2D,MathEquivalent,Manual"</formula1>
    </dataValidation>
    <dataValidation type="list" allowBlank="1" showErrorMessage="1" errorStyle="stop" errorTitle="Giá trị không hợp lệ" error="Chọn một giá trị trong danh sách." sqref="Y2:Y501">
      <formula1>"Private,Shared"</formula1>
    </dataValidation>
    <dataValidation type="list" allowBlank="1" showErrorMessage="1" errorStyle="stop" errorTitle="Giá trị không hợp lệ" error="Chọn một giá trị trong danh sách." sqref="Z2:Z501">
      <formula1>"vi,en"</formula1>
    </dataValidation>
    <dataValidation type="list" allowBlank="1" showErrorMessage="1" errorStyle="stop" errorTitle="Giá trị không hợp lệ" error="Chọn một giá trị trong danh sách." sqref="B2:B501">
      <formula1>ImportTopics</formula1>
    </dataValidation>
  </dataValidations>
  <ignoredErrors>
    <ignoredError numberStoredAsText="1" sqref="A1:Z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8.83203125" customWidth="1"/>
    <col min="2" max="2" width="60.83203125" customWidth="1"/>
    <col min="3" max="3" width="25.83203125" customWidth="1"/>
    <col min="4" max="4" width="25.83203125" customWidth="1"/>
  </cols>
  <sheetData>
    <row r="1">
      <c r="A1" s="1" t="str">
        <v>TopicCode</v>
      </c>
      <c r="B1" s="1" t="str">
        <v>TopicName</v>
      </c>
      <c r="C1" s="1" t="str">
        <v>NodeId</v>
      </c>
      <c r="D1" s="1" t="str">
        <v>ParentNodeId</v>
      </c>
    </row>
    <row r="2">
      <c r="A2" s="1" t="str">
        <v>MATH-DERIV</v>
      </c>
      <c r="B2" s="1" t="str">
        <v>Đạo hàm</v>
      </c>
      <c r="C2" s="1" t="str">
        <v>9007199254740993</v>
      </c>
      <c r="D2" s="1" t="str">
        <v/>
      </c>
    </row>
    <row r="3">
      <c r="A3" s="1" t="str">
        <v>MATH-FRAC</v>
      </c>
      <c r="B3" s="1" t="str">
        <v>Phân số</v>
      </c>
      <c r="C3" s="1" t="str">
        <v>2</v>
      </c>
      <c r="D3" s="1" t="str">
        <v/>
      </c>
    </row>
    <row r="4">
      <c r="A4" s="1" t="str">
        <v>MATH-GEOM</v>
      </c>
      <c r="B4" s="1" t="str">
        <v>Hình học</v>
      </c>
      <c r="C4" s="1" t="str">
        <v>3</v>
      </c>
      <c r="D4" s="1" t="str">
        <v/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TemplateVersion</v>
      </c>
      <c r="B1" t="str">
        <v>1.0</v>
      </c>
    </row>
    <row r="2">
      <c r="A2" t="str">
        <v>SubjectId</v>
      </c>
      <c r="B2" t="str">
        <v>0904f0c4-2901-4b47-8504-bbe84239cd1f</v>
      </c>
    </row>
    <row r="3">
      <c r="A3" t="str">
        <v>Subject</v>
      </c>
      <c r="B3" t="str">
        <v>Toán (MATH)</v>
      </c>
    </row>
    <row r="4">
      <c r="A4" t="str">
        <v>Bắt đầu</v>
      </c>
      <c r="B4" t="str">
        <v>Sheet Questions: mỗi dòng là một câu; xóa ba câu ví dụ trước khi nhập dữ liệu thật.</v>
      </c>
    </row>
    <row r="5">
      <c r="A5" t="str">
        <v>Chủ đề</v>
      </c>
      <c r="B5" t="str">
        <v>TopicCode bắt buộc từng câu, lấy đúng mã trên sheet Topics của môn đã chọn.</v>
      </c>
    </row>
    <row r="6">
      <c r="A6" t="str">
        <v>Bắt buộc</v>
      </c>
      <c r="B6" t="str">
        <v>QuestionType, TopicCode, QuestionText, CorrectAnswer, Solution; GradeLevel 10–12 theo câu hoặc mặc định của lô.</v>
      </c>
    </row>
    <row r="7">
      <c r="A7" t="str">
        <v>Mặc định</v>
      </c>
      <c r="B7" t="str">
        <v>Ô trống dùng thiết lập lô cho Difficulty, MaxScore, EstimatedTimeSeconds, ReasoningRequired, Visibility, LanguageCode. Ô sai phải sửa.</v>
      </c>
    </row>
    <row r="8">
      <c r="A8" t="str">
        <v>Công thức</v>
      </c>
      <c r="B8" t="str">
        <v>Gõ văn bản + LaTeX inline $...$, ví dụ Tính $\frac{1}{2}$. Giữ một backslash thật; công thức không xuống dòng.</v>
      </c>
    </row>
    <row r="9">
      <c r="A9" t="str">
        <v>Ô Text</v>
      </c>
      <c r="B9" t="str">
        <v>Các ô đã định dạng Text. Nhập 1/2, 001 hoặc LaTeX dưới dạng text; không đổi thành kiểu ngày hoặc dùng =... như formula Excel.</v>
      </c>
    </row>
    <row r="10">
      <c r="A10" t="str">
        <v>Chế độ chấm</v>
      </c>
      <c r="B10" t="str">
        <v>MCQ: TextExact với CorrectAnswer=A/B/C/D. Essay: Manual. ShortAnswer: chọn mode phù hợp hoặc dùng mặc định Manual.</v>
      </c>
    </row>
    <row r="11">
      <c r="A11" t="str">
        <v>Danh sách</v>
      </c>
      <c r="B11" t="str">
        <v>RequiredIdeas và CommonErrors: JSON array, ví dụ ["Ý thứ nhất","Ý thứ hai"]. Không dùng ; hoặc | để tách.</v>
      </c>
    </row>
    <row r="12">
      <c r="A12" t="str">
        <v>Quan niệm sai</v>
      </c>
      <c r="B12" t="str">
        <v>MisconceptionA–D là ghi chú theo từng lựa chọn; CommonErrors là các lỗi thường gặp ở cấp câu hỏi.</v>
      </c>
    </row>
    <row r="13">
      <c r="A13" t="str">
        <v>Giới hạn V1</v>
      </c>
      <c r="B13" t="str">
        <v>Tối đa 500 câu, file 10 MiB. Không HTML, macro LaTeX, $$...$$, \[...\], Equation, ảnh/drawing, sheet rubric/mapping hoặc URL ảnh.</v>
      </c>
    </row>
    <row r="14">
      <c r="A14" t="str">
        <v>Sau import</v>
      </c>
      <c r="B14" t="str">
        <v>Lưu Draft; rà soát và kích hoạt bằng quyền xuất bản. Thêm ảnh/rubric nâng cao bằng editor sau import.</v>
      </c>
    </row>
    <row r="15">
      <c r="A15" t="str">
        <v>Xem trước</v>
      </c>
      <c r="B15" t="str">
        <v>Kiểm tra cả đề, lựa chọn, đáp án, lời giải, tiêu chí và các mặc định. Nếu có lỗi, sửa file hoặc chủ động chọn câu hợp lệ.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Topics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